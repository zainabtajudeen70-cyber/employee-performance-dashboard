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Excel t\"/>
    </mc:Choice>
  </mc:AlternateContent>
  <xr:revisionPtr revIDLastSave="0" documentId="13_ncr:1_{53A31EE0-5E86-4A87-AD29-6DBC49BE0A73}" xr6:coauthVersionLast="47" xr6:coauthVersionMax="47" xr10:uidLastSave="{00000000-0000-0000-0000-000000000000}"/>
  <bookViews>
    <workbookView xWindow="-120" yWindow="-120" windowWidth="20730" windowHeight="11160" activeTab="1" xr2:uid="{E6109681-D3E9-4978-8EB9-7D0DA255B69D}"/>
  </bookViews>
  <sheets>
    <sheet name="Sheet3" sheetId="3" r:id="rId1"/>
    <sheet name="Sheet5" sheetId="5" r:id="rId2"/>
    <sheet name="Sheet1" sheetId="1" r:id="rId3"/>
    <sheet name="Dashboard" sheetId="4" r:id="rId4"/>
    <sheet name="Sheet2" sheetId="2" r:id="rId5"/>
  </sheets>
  <definedNames>
    <definedName name="_xlnm._FilterDatabase" localSheetId="2" hidden="1">Sheet1!$A$1:$F$11</definedName>
  </definedNames>
  <calcPr calcId="191029"/>
  <pivotCaches>
    <pivotCache cacheId="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9" i="5" l="1"/>
  <c r="G9" i="5"/>
  <c r="J8" i="5"/>
  <c r="H8" i="5"/>
  <c r="G8" i="5"/>
  <c r="J7" i="5"/>
  <c r="G7" i="5"/>
  <c r="J6" i="5"/>
  <c r="G6" i="5"/>
  <c r="J5" i="5"/>
  <c r="H5" i="5"/>
  <c r="G5" i="5"/>
  <c r="J4" i="5"/>
  <c r="G4" i="5"/>
  <c r="J3" i="5"/>
  <c r="H3" i="5"/>
  <c r="G3" i="5"/>
  <c r="J2" i="5"/>
  <c r="G2" i="5"/>
  <c r="E9" i="4"/>
  <c r="E10" i="4"/>
  <c r="E6" i="4"/>
  <c r="E5" i="4"/>
  <c r="E4" i="4"/>
  <c r="B15" i="4"/>
  <c r="B13" i="4"/>
  <c r="B11" i="4"/>
  <c r="B9" i="4"/>
  <c r="B6" i="4"/>
  <c r="B3" i="4"/>
  <c r="J9" i="1"/>
  <c r="J8" i="1"/>
  <c r="J7" i="1"/>
  <c r="J6" i="1"/>
  <c r="J5" i="1"/>
  <c r="J4" i="1"/>
  <c r="J3" i="1"/>
  <c r="J2" i="1"/>
  <c r="H2" i="2"/>
  <c r="E15" i="1"/>
  <c r="I8" i="1"/>
  <c r="I5" i="1"/>
  <c r="H10" i="1"/>
  <c r="H5" i="1"/>
  <c r="H8" i="1"/>
  <c r="H3" i="1"/>
  <c r="G18" i="1"/>
  <c r="F18" i="1"/>
  <c r="E18" i="1"/>
  <c r="D18" i="1"/>
  <c r="K17" i="1"/>
  <c r="J17" i="1"/>
  <c r="I17" i="1"/>
  <c r="H17" i="1"/>
  <c r="G16" i="1"/>
  <c r="F16" i="1"/>
  <c r="E16" i="1"/>
  <c r="D16" i="1"/>
  <c r="D14" i="1"/>
  <c r="G3" i="1"/>
  <c r="G4" i="1"/>
  <c r="G5" i="1"/>
  <c r="G6" i="1"/>
  <c r="G7" i="1"/>
  <c r="G8" i="1"/>
  <c r="G9" i="1"/>
  <c r="G2" i="1"/>
  <c r="J11" i="1"/>
  <c r="I11" i="1"/>
  <c r="H11" i="1"/>
  <c r="G11" i="1"/>
  <c r="F11" i="1"/>
  <c r="E11" i="1"/>
  <c r="G17" i="1" l="1"/>
  <c r="I3" i="1"/>
</calcChain>
</file>

<file path=xl/sharedStrings.xml><?xml version="1.0" encoding="utf-8"?>
<sst xmlns="http://schemas.openxmlformats.org/spreadsheetml/2006/main" count="105" uniqueCount="50">
  <si>
    <t>Name</t>
  </si>
  <si>
    <t>Age</t>
  </si>
  <si>
    <t>Gender</t>
  </si>
  <si>
    <t>Department</t>
  </si>
  <si>
    <t>Salary</t>
  </si>
  <si>
    <t>Performance</t>
  </si>
  <si>
    <t>Aishat</t>
  </si>
  <si>
    <t>Female</t>
  </si>
  <si>
    <t>HR</t>
  </si>
  <si>
    <t>Yusuf</t>
  </si>
  <si>
    <t>Male</t>
  </si>
  <si>
    <t>IT</t>
  </si>
  <si>
    <t>Mary</t>
  </si>
  <si>
    <t>Finance</t>
  </si>
  <si>
    <t>John</t>
  </si>
  <si>
    <t>Fatimah</t>
  </si>
  <si>
    <t>Daniel</t>
  </si>
  <si>
    <t>Blessing</t>
  </si>
  <si>
    <t>Ibrahim</t>
  </si>
  <si>
    <t>AVERAGE SALARY</t>
  </si>
  <si>
    <t>TOTAL=SUM</t>
  </si>
  <si>
    <t>Status</t>
  </si>
  <si>
    <t>Row Labels</t>
  </si>
  <si>
    <t>Grand Total</t>
  </si>
  <si>
    <t>Count of Status</t>
  </si>
  <si>
    <t>Needs improvement</t>
  </si>
  <si>
    <t>Pass</t>
  </si>
  <si>
    <t>performance level</t>
  </si>
  <si>
    <t>A</t>
  </si>
  <si>
    <t>B</t>
  </si>
  <si>
    <t>Manager</t>
  </si>
  <si>
    <t>Amina</t>
  </si>
  <si>
    <t>David</t>
  </si>
  <si>
    <t>Sarah</t>
  </si>
  <si>
    <t>manager</t>
  </si>
  <si>
    <t>EMPLOYEE PERFORMANCE DASHBOARD</t>
  </si>
  <si>
    <t>TOTAL EMPLOYEES</t>
  </si>
  <si>
    <t>TOTAL SALARY</t>
  </si>
  <si>
    <t>AVERAGE PERFORMANCE</t>
  </si>
  <si>
    <t>HIGHEST SALARY</t>
  </si>
  <si>
    <t>LOWEST SALARY</t>
  </si>
  <si>
    <t>DEPARTMENT</t>
  </si>
  <si>
    <t>EMPLOYEES</t>
  </si>
  <si>
    <t>FINANCE</t>
  </si>
  <si>
    <t>STATUS</t>
  </si>
  <si>
    <t>KEY INSIGHTS</t>
  </si>
  <si>
    <t>THE AVERAGE EMPLOYEES PERFORMANCESCORE IS 85.625</t>
  </si>
  <si>
    <t>Overall, the data shows that employee performance is generally strong, with 75% of employees passing. IT has the highest average salary among the departments, while 2 employees may require additional performance support.</t>
  </si>
  <si>
    <t>IT has the highest average salary among the departments.</t>
  </si>
  <si>
    <t>75% of employees passed, while 25% need improvement.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</si>
</sst>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Font="1"/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[Tutorial 1.xlsx]Sheet3!PivotTable1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Employees</a:t>
            </a:r>
            <a:r>
              <a:rPr lang="en-US" baseline="0"/>
              <a:t> performance status </a:t>
            </a:r>
            <a:endParaRPr lang="en-US"/>
          </a:p>
        </c:rich>
      </c:tx>
      <c:layout>
        <c:manualLayout>
          <c:xMode val="edge"/>
          <c:yMode val="edge"/>
          <c:x val="0.33538188976377958"/>
          <c:y val="0.142497812773403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Sheet3!$A$4:$A$6</c:f>
              <c:strCache>
                <c:ptCount val="2"/>
                <c:pt idx="0">
                  <c:v>Needs improvement</c:v>
                </c:pt>
                <c:pt idx="1">
                  <c:v>Pass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2"/>
                <c:pt idx="0">
                  <c:v>2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BE-45BE-93C5-54E30E668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7684368"/>
        <c:axId val="477011328"/>
      </c:barChart>
      <c:catAx>
        <c:axId val="59768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011328"/>
        <c:crosses val="autoZero"/>
        <c:auto val="1"/>
        <c:lblAlgn val="ctr"/>
        <c:lblOffset val="100"/>
        <c:noMultiLvlLbl val="0"/>
      </c:catAx>
      <c:valAx>
        <c:axId val="47701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68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EMPLOYEES</a:t>
            </a:r>
            <a:r>
              <a:rPr lang="en-US" baseline="0"/>
              <a:t> BY DEPARTMENT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Dashboard!$E$3</c:f>
              <c:strCache>
                <c:ptCount val="1"/>
                <c:pt idx="0">
                  <c:v>EMPLOYEES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Dashboard!$D$4:$D$6</c:f>
              <c:strCache>
                <c:ptCount val="3"/>
                <c:pt idx="0">
                  <c:v>HR</c:v>
                </c:pt>
                <c:pt idx="1">
                  <c:v>IT</c:v>
                </c:pt>
                <c:pt idx="2">
                  <c:v>FINANCE</c:v>
                </c:pt>
              </c:strCache>
            </c:strRef>
          </c:cat>
          <c:val>
            <c:numRef>
              <c:f>Dashboard!$E$4:$E$6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3B-4495-BC59-B320068E7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2724624"/>
        <c:axId val="482283456"/>
      </c:barChart>
      <c:catAx>
        <c:axId val="64272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283456"/>
        <c:crosses val="autoZero"/>
        <c:auto val="1"/>
        <c:lblAlgn val="ctr"/>
        <c:lblOffset val="100"/>
        <c:noMultiLvlLbl val="0"/>
      </c:catAx>
      <c:valAx>
        <c:axId val="48228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724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EMPLOYEES PERFORMANCE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803149606299221E-2"/>
          <c:y val="0.16708333333333336"/>
          <c:w val="0.91564129483814527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Dashboard!$E$8</c:f>
              <c:strCache>
                <c:ptCount val="1"/>
                <c:pt idx="0">
                  <c:v>EMPLOYEES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Dashboard!$D$9:$D$10</c:f>
              <c:strCache>
                <c:ptCount val="2"/>
                <c:pt idx="0">
                  <c:v>Pass</c:v>
                </c:pt>
                <c:pt idx="1">
                  <c:v>Needs improvement</c:v>
                </c:pt>
              </c:strCache>
            </c:strRef>
          </c:cat>
          <c:val>
            <c:numRef>
              <c:f>Dashboard!$E$9:$E$10</c:f>
              <c:numCache>
                <c:formatCode>General</c:formatCode>
                <c:ptCount val="2"/>
                <c:pt idx="0">
                  <c:v>6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F5-4CC2-B8D1-EE4F42E1B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0917616"/>
        <c:axId val="482290176"/>
      </c:barChart>
      <c:catAx>
        <c:axId val="61091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290176"/>
        <c:crosses val="autoZero"/>
        <c:auto val="1"/>
        <c:lblAlgn val="ctr"/>
        <c:lblOffset val="100"/>
        <c:noMultiLvlLbl val="0"/>
      </c:catAx>
      <c:valAx>
        <c:axId val="48229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917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EMPLOYEES</a:t>
            </a:r>
            <a:r>
              <a:rPr lang="en-US" baseline="0"/>
              <a:t> BY DEPARTMENT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Dashboard!$E$3</c:f>
              <c:strCache>
                <c:ptCount val="1"/>
                <c:pt idx="0">
                  <c:v>EMPLOYEES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Dashboard!$D$4:$D$6</c:f>
              <c:strCache>
                <c:ptCount val="3"/>
                <c:pt idx="0">
                  <c:v>HR</c:v>
                </c:pt>
                <c:pt idx="1">
                  <c:v>IT</c:v>
                </c:pt>
                <c:pt idx="2">
                  <c:v>FINANCE</c:v>
                </c:pt>
              </c:strCache>
            </c:strRef>
          </c:cat>
          <c:val>
            <c:numRef>
              <c:f>Dashboard!$E$4:$E$6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64-46DE-ADE3-741B29B6C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5587680"/>
        <c:axId val="477011808"/>
      </c:barChart>
      <c:catAx>
        <c:axId val="59558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011808"/>
        <c:crosses val="autoZero"/>
        <c:auto val="1"/>
        <c:lblAlgn val="ctr"/>
        <c:lblOffset val="100"/>
        <c:noMultiLvlLbl val="0"/>
      </c:catAx>
      <c:valAx>
        <c:axId val="47701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587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361950</xdr:colOff>
      <xdr:row>3</xdr:row>
      <xdr:rowOff>157162</xdr:rowOff>
    </xdr:from>
    <xdr:to>
      <xdr:col>8</xdr:col>
      <xdr:colOff>304800</xdr:colOff>
      <xdr:row>19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15815D-77C1-CB88-5F15-5565986D11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547687</xdr:colOff>
      <xdr:row>3</xdr:row>
      <xdr:rowOff>157162</xdr:rowOff>
    </xdr:from>
    <xdr:to>
      <xdr:col>12</xdr:col>
      <xdr:colOff>319087</xdr:colOff>
      <xdr:row>19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BAD69B-A29F-D7E4-91F6-069E24AAAB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547687</xdr:colOff>
      <xdr:row>3</xdr:row>
      <xdr:rowOff>157162</xdr:rowOff>
    </xdr:from>
    <xdr:to>
      <xdr:col>12</xdr:col>
      <xdr:colOff>319087</xdr:colOff>
      <xdr:row>19</xdr:row>
      <xdr:rowOff>4762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FE273B-EDD9-D013-2C59-952C4CF09A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114300</xdr:colOff>
      <xdr:row>0</xdr:row>
      <xdr:rowOff>0</xdr:rowOff>
    </xdr:from>
    <xdr:to>
      <xdr:col>16</xdr:col>
      <xdr:colOff>571499</xdr:colOff>
      <xdr:row>18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92F0B61-3A14-AD83-DAB4-7592F81EA2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91.588986921299" createdVersion="8" refreshedVersion="8" minRefreshableVersion="3" recordCount="8" xr:uid="{F10D8AAF-C50C-4821-AE67-26416C1E7EBC}">
  <cacheSource type="worksheet">
    <worksheetSource ref="A1:G9" sheet="Sheet1"/>
  </cacheSource>
  <cacheFields count="7">
    <cacheField name="Name" numFmtId="0">
      <sharedItems count="8">
        <s v="Aishat"/>
        <s v="John"/>
        <s v="Mary"/>
        <s v="Yusuf"/>
        <s v="Fatimah"/>
        <s v="Daniel"/>
        <s v="Blessing"/>
        <s v="Ibrahim"/>
      </sharedItems>
    </cacheField>
    <cacheField name="Age" numFmtId="0">
      <sharedItems containsSemiMixedTypes="0" containsString="0" containsNumber="1" containsInteger="1" minValue="23" maxValue="31"/>
    </cacheField>
    <cacheField name="Gender" numFmtId="0">
      <sharedItems/>
    </cacheField>
    <cacheField name="Department" numFmtId="0">
      <sharedItems count="3">
        <s v="HR"/>
        <s v="IT"/>
        <s v="Finance"/>
      </sharedItems>
    </cacheField>
    <cacheField name="Salary" numFmtId="0">
      <sharedItems containsSemiMixedTypes="0" containsString="0" containsNumber="1" containsInteger="1" minValue="150000" maxValue="300000"/>
    </cacheField>
    <cacheField name="Performance" numFmtId="0">
      <sharedItems containsSemiMixedTypes="0" containsString="0" containsNumber="1" containsInteger="1" minValue="76" maxValue="95"/>
    </cacheField>
    <cacheField name="Status" numFmtId="0">
      <sharedItems count="2">
        <s v="Pass"/>
        <s v="Needs improvem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24"/>
    <s v="Female"/>
    <x v="0"/>
    <n v="150000"/>
    <n v="85"/>
    <x v="0"/>
  </r>
  <r>
    <x v="1"/>
    <n v="31"/>
    <s v="Male"/>
    <x v="1"/>
    <n v="300000"/>
    <n v="88"/>
    <x v="0"/>
  </r>
  <r>
    <x v="2"/>
    <n v="26"/>
    <s v="Female"/>
    <x v="2"/>
    <n v="200000"/>
    <n v="78"/>
    <x v="1"/>
  </r>
  <r>
    <x v="3"/>
    <n v="29"/>
    <s v="Male"/>
    <x v="1"/>
    <n v="250000"/>
    <n v="92"/>
    <x v="0"/>
  </r>
  <r>
    <x v="4"/>
    <n v="23"/>
    <s v="Female"/>
    <x v="0"/>
    <n v="170000"/>
    <n v="95"/>
    <x v="0"/>
  </r>
  <r>
    <x v="5"/>
    <n v="28"/>
    <s v="Male"/>
    <x v="2"/>
    <n v="220000"/>
    <n v="81"/>
    <x v="0"/>
  </r>
  <r>
    <x v="6"/>
    <n v="25"/>
    <s v="Female"/>
    <x v="1"/>
    <n v="240000"/>
    <n v="90"/>
    <x v="0"/>
  </r>
  <r>
    <x v="7"/>
    <n v="30"/>
    <s v="Male"/>
    <x v="0"/>
    <n v="180000"/>
    <n v="7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47A510-E85B-45C5-B1DA-B4B55A057489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6" firstHeaderRow="1" firstDataRow="1" firstDataCol="1"/>
  <pivotFields count="7">
    <pivotField showAll="0">
      <items count="9">
        <item x="0"/>
        <item x="6"/>
        <item x="5"/>
        <item x="4"/>
        <item x="7"/>
        <item x="1"/>
        <item x="2"/>
        <item x="3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axis="axisRow" dataField="1" showAll="0">
      <items count="3">
        <item x="1"/>
        <item x="0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Status" fld="6" subtotal="count" baseField="0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197C9-237D-47A9-B707-FC5B9C18ABBD}">
  <dimension ref="A3:B6"/>
  <sheetViews>
    <sheetView topLeftCell="A4" workbookViewId="0">
      <selection activeCell="A3" sqref="A3:B5"/>
    </sheetView>
  </sheetViews>
  <sheetFormatPr defaultRowHeight="14.25"/>
  <cols>
    <col min="1" max="1" width="16.375" bestFit="1" customWidth="1"/>
    <col min="2" max="2" width="14.75" bestFit="1" customWidth="1"/>
    <col min="3" max="3" width="15.75" bestFit="1" customWidth="1"/>
  </cols>
  <sheetData>
    <row r="3" spans="1:2">
      <c r="A3" s="1" t="s">
        <v>22</v>
      </c>
      <c r="B3" t="s">
        <v>24</v>
      </c>
    </row>
    <row r="4" spans="1:2">
      <c r="A4" s="2" t="s">
        <v>25</v>
      </c>
      <c r="B4" s="3">
        <v>2</v>
      </c>
    </row>
    <row r="5" spans="1:2">
      <c r="A5" s="2" t="s">
        <v>26</v>
      </c>
      <c r="B5" s="3">
        <v>6</v>
      </c>
    </row>
    <row r="6" spans="1:2">
      <c r="A6" s="2" t="s">
        <v>23</v>
      </c>
      <c r="B6" s="3">
        <v>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97263-8A94-43BB-8EFA-072BAE5591F1}">
  <dimension ref="A1:M14"/>
  <sheetViews>
    <sheetView tabSelected="1" workbookViewId="0">
      <selection activeCell="J17" sqref="J17"/>
    </sheetView>
  </sheetViews>
  <sheetFormatPr defaultRowHeight="14.2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21</v>
      </c>
      <c r="H1" t="s">
        <v>27</v>
      </c>
      <c r="J1" t="s">
        <v>30</v>
      </c>
    </row>
    <row r="2" spans="1:13">
      <c r="A2" t="s">
        <v>6</v>
      </c>
      <c r="B2">
        <v>24</v>
      </c>
      <c r="C2" t="s">
        <v>7</v>
      </c>
      <c r="D2" t="s">
        <v>8</v>
      </c>
      <c r="E2">
        <v>150000</v>
      </c>
      <c r="F2">
        <v>85</v>
      </c>
      <c r="G2" t="str">
        <f>IF(F2&gt;=80,"Pass","Needs improvement")</f>
        <v>Pass</v>
      </c>
      <c r="J2" t="str">
        <f>VLOOKUP(D2,Sheet2!$A$3:$B$5,2,FALSE)</f>
        <v>Amina</v>
      </c>
    </row>
    <row r="3" spans="1:13">
      <c r="A3" t="s">
        <v>14</v>
      </c>
      <c r="B3">
        <v>31</v>
      </c>
      <c r="C3" t="s">
        <v>10</v>
      </c>
      <c r="D3" t="s">
        <v>11</v>
      </c>
      <c r="E3">
        <v>300000</v>
      </c>
      <c r="F3">
        <v>88</v>
      </c>
      <c r="G3" t="str">
        <f t="shared" ref="G3:G9" si="0">IF(F3&gt;=80,"Pass","Needs improvement")</f>
        <v>Pass</v>
      </c>
      <c r="H3" t="str">
        <f>IF(F2&gt;=80,"Excellent",IF(F2&gt;=70,"Good","Needs Improvement"))</f>
        <v>Excellent</v>
      </c>
      <c r="J3" t="str">
        <f>VLOOKUP(D3,Sheet2!$A$3:$B$5,2,FALSE)</f>
        <v>David</v>
      </c>
    </row>
    <row r="4" spans="1:13">
      <c r="A4" t="s">
        <v>12</v>
      </c>
      <c r="B4">
        <v>26</v>
      </c>
      <c r="C4" t="s">
        <v>7</v>
      </c>
      <c r="D4" t="s">
        <v>13</v>
      </c>
      <c r="E4">
        <v>200000</v>
      </c>
      <c r="F4">
        <v>78</v>
      </c>
      <c r="G4" t="str">
        <f t="shared" si="0"/>
        <v>Needs improvement</v>
      </c>
      <c r="J4" t="str">
        <f>VLOOKUP(D4,Sheet2!$A$3:$B$5,2,FALSE)</f>
        <v>Sarah</v>
      </c>
    </row>
    <row r="5" spans="1:13">
      <c r="A5" t="s">
        <v>9</v>
      </c>
      <c r="B5">
        <v>29</v>
      </c>
      <c r="C5" t="s">
        <v>10</v>
      </c>
      <c r="D5" t="s">
        <v>11</v>
      </c>
      <c r="E5">
        <v>250000</v>
      </c>
      <c r="F5">
        <v>92</v>
      </c>
      <c r="G5" t="str">
        <f t="shared" si="0"/>
        <v>Pass</v>
      </c>
      <c r="H5" t="str">
        <f>IF(F3&gt;=80,"Excellent",IF(F3&gt;=70,"Good","Needs Improvement"))</f>
        <v>Excellent</v>
      </c>
      <c r="J5" t="str">
        <f>VLOOKUP(D5,Sheet2!$A$3:$B$5,2,FALSE)</f>
        <v>David</v>
      </c>
    </row>
    <row r="6" spans="1:13">
      <c r="A6" t="s">
        <v>15</v>
      </c>
      <c r="B6">
        <v>23</v>
      </c>
      <c r="C6" t="s">
        <v>7</v>
      </c>
      <c r="D6" t="s">
        <v>8</v>
      </c>
      <c r="E6">
        <v>170000</v>
      </c>
      <c r="F6">
        <v>95</v>
      </c>
      <c r="G6" t="str">
        <f t="shared" si="0"/>
        <v>Pass</v>
      </c>
      <c r="J6" t="str">
        <f>VLOOKUP(D6,Sheet2!$A$3:$B$5,2,FALSE)</f>
        <v>Amina</v>
      </c>
    </row>
    <row r="7" spans="1:13">
      <c r="A7" t="s">
        <v>16</v>
      </c>
      <c r="B7">
        <v>28</v>
      </c>
      <c r="C7" t="s">
        <v>10</v>
      </c>
      <c r="D7" t="s">
        <v>13</v>
      </c>
      <c r="E7">
        <v>220000</v>
      </c>
      <c r="F7">
        <v>81</v>
      </c>
      <c r="G7" t="str">
        <f t="shared" si="0"/>
        <v>Pass</v>
      </c>
      <c r="J7" t="str">
        <f>VLOOKUP(D7,Sheet2!$A$3:$B$5,2,FALSE)</f>
        <v>Sarah</v>
      </c>
    </row>
    <row r="8" spans="1:13">
      <c r="A8" t="s">
        <v>17</v>
      </c>
      <c r="B8">
        <v>25</v>
      </c>
      <c r="C8" t="s">
        <v>7</v>
      </c>
      <c r="D8" t="s">
        <v>11</v>
      </c>
      <c r="E8">
        <v>240000</v>
      </c>
      <c r="F8">
        <v>90</v>
      </c>
      <c r="G8" t="str">
        <f t="shared" si="0"/>
        <v>Pass</v>
      </c>
      <c r="H8" t="str">
        <f>IF(F7&gt;=80,"Excellent",IF(F7&gt;=70,"Good","Needs Improvement"))</f>
        <v>Excellent</v>
      </c>
      <c r="J8" t="str">
        <f>VLOOKUP(D8,Sheet2!$A$3:$B$5,2,FALSE)</f>
        <v>David</v>
      </c>
    </row>
    <row r="9" spans="1:13">
      <c r="A9" t="s">
        <v>18</v>
      </c>
      <c r="B9">
        <v>30</v>
      </c>
      <c r="C9" t="s">
        <v>10</v>
      </c>
      <c r="D9" t="s">
        <v>8</v>
      </c>
      <c r="E9">
        <v>180000</v>
      </c>
      <c r="F9">
        <v>76</v>
      </c>
      <c r="G9" t="str">
        <f t="shared" si="0"/>
        <v>Needs improvement</v>
      </c>
      <c r="J9" t="str">
        <f>VLOOKUP(D9,Sheet2!$A$3:$B$5,2,FALSE)</f>
        <v>Amina</v>
      </c>
      <c r="K9" s="7"/>
    </row>
    <row r="12" spans="1:13">
      <c r="J12" s="7"/>
    </row>
    <row r="14" spans="1:13" ht="15">
      <c r="M14" s="9"/>
    </row>
  </sheetData>
  <conditionalFormatting sqref="A2:A9">
    <cfRule type="duplicateValues" dxfId="0" priority="2"/>
  </conditionalFormatting>
  <conditionalFormatting sqref="B2:B9">
    <cfRule type="containsBlanks" priority="1">
      <formula>LEN(TRIM(B2))=0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6CC89-F1B2-4AC9-A616-F8911E401E8B}">
  <dimension ref="A1:K18"/>
  <sheetViews>
    <sheetView workbookViewId="0">
      <selection activeCell="C18" sqref="C18"/>
    </sheetView>
  </sheetViews>
  <sheetFormatPr defaultRowHeight="14.2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21</v>
      </c>
      <c r="H1" t="s">
        <v>27</v>
      </c>
      <c r="J1" t="s">
        <v>30</v>
      </c>
    </row>
    <row r="2" spans="1:10">
      <c r="A2" t="s">
        <v>6</v>
      </c>
      <c r="B2">
        <v>24</v>
      </c>
      <c r="C2" t="s">
        <v>7</v>
      </c>
      <c r="D2" t="s">
        <v>8</v>
      </c>
      <c r="E2">
        <v>150000</v>
      </c>
      <c r="F2">
        <v>85</v>
      </c>
      <c r="G2" t="str">
        <f>IF(F2&gt;=80,"Pass","Needs improvement")</f>
        <v>Pass</v>
      </c>
      <c r="J2" t="str">
        <f>VLOOKUP(D2,Sheet2!$A$3:$B$5,2,FALSE)</f>
        <v>Amina</v>
      </c>
    </row>
    <row r="3" spans="1:10">
      <c r="A3" t="s">
        <v>14</v>
      </c>
      <c r="B3">
        <v>31</v>
      </c>
      <c r="C3" t="s">
        <v>10</v>
      </c>
      <c r="D3" t="s">
        <v>11</v>
      </c>
      <c r="E3">
        <v>300000</v>
      </c>
      <c r="F3">
        <v>88</v>
      </c>
      <c r="G3" t="str">
        <f t="shared" ref="G3:G9" si="0">IF(F3&gt;=80,"Pass","Needs improvement")</f>
        <v>Pass</v>
      </c>
      <c r="H3" t="str">
        <f>IF(F2&gt;=80,"Excellent",IF(F2&gt;=70,"Good","Needs Improvement"))</f>
        <v>Excellent</v>
      </c>
      <c r="I3">
        <f>COUNTIF(G2:G9,"Pass")</f>
        <v>6</v>
      </c>
      <c r="J3" t="str">
        <f>VLOOKUP(D3,Sheet2!$A$3:$B$5,2,FALSE)</f>
        <v>David</v>
      </c>
    </row>
    <row r="4" spans="1:10">
      <c r="A4" t="s">
        <v>12</v>
      </c>
      <c r="B4">
        <v>26</v>
      </c>
      <c r="C4" t="s">
        <v>7</v>
      </c>
      <c r="D4" t="s">
        <v>13</v>
      </c>
      <c r="E4">
        <v>200000</v>
      </c>
      <c r="F4">
        <v>78</v>
      </c>
      <c r="G4" t="str">
        <f t="shared" si="0"/>
        <v>Needs improvement</v>
      </c>
      <c r="J4" t="str">
        <f>VLOOKUP(D4,Sheet2!$A$3:$B$5,2,FALSE)</f>
        <v>Sarah</v>
      </c>
    </row>
    <row r="5" spans="1:10">
      <c r="A5" t="s">
        <v>9</v>
      </c>
      <c r="B5">
        <v>29</v>
      </c>
      <c r="C5" t="s">
        <v>10</v>
      </c>
      <c r="D5" t="s">
        <v>11</v>
      </c>
      <c r="E5">
        <v>250000</v>
      </c>
      <c r="F5">
        <v>92</v>
      </c>
      <c r="G5" t="str">
        <f t="shared" si="0"/>
        <v>Pass</v>
      </c>
      <c r="H5" t="str">
        <f>IF(F3&gt;=80,"Excellent",IF(F3&gt;=70,"Good","Needs Improvement"))</f>
        <v>Excellent</v>
      </c>
      <c r="I5">
        <f>SUMIF(D2:D9,"IT",E2:E9)</f>
        <v>790000</v>
      </c>
      <c r="J5" t="str">
        <f>VLOOKUP(D5,Sheet2!$A$3:$B$5,2,FALSE)</f>
        <v>David</v>
      </c>
    </row>
    <row r="6" spans="1:10">
      <c r="A6" t="s">
        <v>15</v>
      </c>
      <c r="B6">
        <v>23</v>
      </c>
      <c r="C6" t="s">
        <v>7</v>
      </c>
      <c r="D6" t="s">
        <v>8</v>
      </c>
      <c r="E6">
        <v>170000</v>
      </c>
      <c r="F6">
        <v>95</v>
      </c>
      <c r="G6" t="str">
        <f t="shared" si="0"/>
        <v>Pass</v>
      </c>
      <c r="J6" t="str">
        <f>VLOOKUP(D6,Sheet2!$A$3:$B$5,2,FALSE)</f>
        <v>Amina</v>
      </c>
    </row>
    <row r="7" spans="1:10">
      <c r="A7" t="s">
        <v>16</v>
      </c>
      <c r="B7">
        <v>28</v>
      </c>
      <c r="C7" t="s">
        <v>10</v>
      </c>
      <c r="D7" t="s">
        <v>13</v>
      </c>
      <c r="E7">
        <v>220000</v>
      </c>
      <c r="F7">
        <v>81</v>
      </c>
      <c r="G7" t="str">
        <f t="shared" si="0"/>
        <v>Pass</v>
      </c>
      <c r="J7" t="str">
        <f>VLOOKUP(D7,Sheet2!$A$3:$B$5,2,FALSE)</f>
        <v>Sarah</v>
      </c>
    </row>
    <row r="8" spans="1:10">
      <c r="A8" t="s">
        <v>17</v>
      </c>
      <c r="B8">
        <v>25</v>
      </c>
      <c r="C8" t="s">
        <v>7</v>
      </c>
      <c r="D8" t="s">
        <v>11</v>
      </c>
      <c r="E8">
        <v>240000</v>
      </c>
      <c r="F8">
        <v>90</v>
      </c>
      <c r="G8" t="str">
        <f t="shared" si="0"/>
        <v>Pass</v>
      </c>
      <c r="H8" t="str">
        <f>IF(F7&gt;=80,"Excellent",IF(F7&gt;=70,"Good","Needs Improvement"))</f>
        <v>Excellent</v>
      </c>
      <c r="I8">
        <f>AVERAGEIF(D2:D9,"IT",E2:E9)</f>
        <v>263333.33333333331</v>
      </c>
      <c r="J8" t="str">
        <f>VLOOKUP(D8,Sheet2!$A$3:$B$5,2,FALSE)</f>
        <v>David</v>
      </c>
    </row>
    <row r="9" spans="1:10">
      <c r="A9" t="s">
        <v>18</v>
      </c>
      <c r="B9">
        <v>30</v>
      </c>
      <c r="C9" t="s">
        <v>10</v>
      </c>
      <c r="D9" t="s">
        <v>8</v>
      </c>
      <c r="E9">
        <v>180000</v>
      </c>
      <c r="F9">
        <v>76</v>
      </c>
      <c r="G9" t="str">
        <f t="shared" si="0"/>
        <v>Needs improvement</v>
      </c>
      <c r="J9" t="str">
        <f>VLOOKUP(D9,Sheet2!$A$3:$B$5,2,FALSE)</f>
        <v>Amina</v>
      </c>
    </row>
    <row r="10" spans="1:10">
      <c r="H10">
        <f>COUNTIF(F2:F9,"&gt;=80")</f>
        <v>6</v>
      </c>
    </row>
    <row r="11" spans="1:10">
      <c r="D11" t="s">
        <v>20</v>
      </c>
      <c r="E11">
        <f>SUM(E2:E9)</f>
        <v>1710000</v>
      </c>
      <c r="F11">
        <f>AVERAGE(E2:E9)</f>
        <v>213750</v>
      </c>
      <c r="G11">
        <f>COUNT(B2:B9)</f>
        <v>8</v>
      </c>
      <c r="H11">
        <f>COUNTIF(C2:C9,"Female")</f>
        <v>4</v>
      </c>
      <c r="I11">
        <f>COUNTIF(D2:D9,"HR")</f>
        <v>3</v>
      </c>
      <c r="J11">
        <f>SUMIF(D2:D9,"HR",E2:E9)</f>
        <v>500000</v>
      </c>
    </row>
    <row r="13" spans="1:10">
      <c r="D13" t="s">
        <v>19</v>
      </c>
    </row>
    <row r="14" spans="1:10">
      <c r="D14">
        <f>AVERAGE(E2:E9)</f>
        <v>213750</v>
      </c>
    </row>
    <row r="15" spans="1:10">
      <c r="E15">
        <f>MAX(E2:E9)</f>
        <v>300000</v>
      </c>
    </row>
    <row r="16" spans="1:10">
      <c r="D16">
        <f>AVERAGE(B2:B9)</f>
        <v>27</v>
      </c>
      <c r="E16">
        <f>MAX(E2:E9)</f>
        <v>300000</v>
      </c>
      <c r="F16">
        <f>MIN(E2:E9)</f>
        <v>150000</v>
      </c>
      <c r="G16" t="str">
        <f>INDEX(A2:A9,MATCH(MAX(E2:E9),E2:E9,0))</f>
        <v>John</v>
      </c>
    </row>
    <row r="17" spans="4:11">
      <c r="G17">
        <f>COUNTIF(G2:G9,"Pass")</f>
        <v>6</v>
      </c>
      <c r="H17">
        <f>COUNTIF(D2:D9,"IT")</f>
        <v>3</v>
      </c>
      <c r="I17">
        <f>COUNTIF(D2:D9,"HR")</f>
        <v>3</v>
      </c>
      <c r="J17">
        <f>COUNTIF(D2:D9,"Finance")</f>
        <v>2</v>
      </c>
      <c r="K17">
        <f>COUNTIF(D2:D9,"IT")</f>
        <v>3</v>
      </c>
    </row>
    <row r="18" spans="4:11">
      <c r="D18">
        <f>AVERAGE(E2:E9)</f>
        <v>213750</v>
      </c>
      <c r="E18">
        <f>AVERAGE(F2:F9)</f>
        <v>85.625</v>
      </c>
      <c r="F18">
        <f>MAX(E2:E9)</f>
        <v>300000</v>
      </c>
      <c r="G18">
        <f>MIN(E2:E9)</f>
        <v>150000</v>
      </c>
    </row>
  </sheetData>
  <autoFilter ref="A1:F11" xr:uid="{44A6CC89-F1B2-4AC9-A616-F8911E401E8B}">
    <sortState xmlns:xlrd2="http://schemas.microsoft.com/office/spreadsheetml/2017/richdata2" ref="A3:F8">
      <sortCondition descending="1" ref="E1:E9"/>
    </sortState>
  </autoFilter>
  <conditionalFormatting sqref="A2:A9">
    <cfRule type="duplicateValues" dxfId="1" priority="3"/>
  </conditionalFormatting>
  <conditionalFormatting sqref="B2:B9">
    <cfRule type="containsBlanks" priority="1">
      <formula>LEN(TRIM(B2))=0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3898F-8DC8-4AAE-B748-92EEFF545AF3}">
  <dimension ref="A1:E23"/>
  <sheetViews>
    <sheetView workbookViewId="0">
      <selection activeCell="A25" sqref="A25"/>
    </sheetView>
  </sheetViews>
  <sheetFormatPr defaultRowHeight="14.25"/>
  <cols>
    <col min="2" max="2" width="9.75" bestFit="1" customWidth="1"/>
  </cols>
  <sheetData>
    <row r="1" spans="1:5" ht="15">
      <c r="A1" s="6" t="s">
        <v>35</v>
      </c>
    </row>
    <row r="2" spans="1:5" ht="15">
      <c r="A2" t="s">
        <v>36</v>
      </c>
      <c r="B2" s="6"/>
    </row>
    <row r="3" spans="1:5">
      <c r="B3">
        <f>COUNTA(Sheet1!A2:A9)</f>
        <v>8</v>
      </c>
      <c r="D3" t="s">
        <v>41</v>
      </c>
      <c r="E3" t="s">
        <v>42</v>
      </c>
    </row>
    <row r="4" spans="1:5">
      <c r="D4" t="s">
        <v>8</v>
      </c>
      <c r="E4">
        <f>COUNTIF(Sheet1!D2:D9,D4)</f>
        <v>3</v>
      </c>
    </row>
    <row r="5" spans="1:5" ht="15">
      <c r="A5" s="6" t="s">
        <v>19</v>
      </c>
      <c r="D5" t="s">
        <v>11</v>
      </c>
      <c r="E5">
        <f>COUNTIF(Sheet1!D2:D9,D5)</f>
        <v>3</v>
      </c>
    </row>
    <row r="6" spans="1:5">
      <c r="B6" s="8">
        <f>AVERAGE(Sheet1!E2:E9)</f>
        <v>213750</v>
      </c>
      <c r="D6" t="s">
        <v>43</v>
      </c>
      <c r="E6">
        <f>COUNTIF(Sheet1!D2:D9,D6)</f>
        <v>2</v>
      </c>
    </row>
    <row r="8" spans="1:5" ht="15">
      <c r="A8" s="6" t="s">
        <v>37</v>
      </c>
      <c r="D8" t="s">
        <v>44</v>
      </c>
      <c r="E8" t="s">
        <v>42</v>
      </c>
    </row>
    <row r="9" spans="1:5">
      <c r="B9">
        <f>SUM(Sheet1!E2:E9)</f>
        <v>1710000</v>
      </c>
      <c r="D9" t="s">
        <v>26</v>
      </c>
      <c r="E9">
        <f>COUNTIF(Sheet1!G2:G9,D9)</f>
        <v>6</v>
      </c>
    </row>
    <row r="10" spans="1:5" ht="15">
      <c r="A10" s="6" t="s">
        <v>38</v>
      </c>
      <c r="D10" t="s">
        <v>25</v>
      </c>
      <c r="E10">
        <f>COUNTIF(Sheet1!G2:G9,D10)</f>
        <v>2</v>
      </c>
    </row>
    <row r="11" spans="1:5">
      <c r="B11">
        <f>AVERAGE(Sheet1!F2:F9)</f>
        <v>85.625</v>
      </c>
    </row>
    <row r="12" spans="1:5" ht="15">
      <c r="A12" s="6" t="s">
        <v>39</v>
      </c>
    </row>
    <row r="13" spans="1:5">
      <c r="B13">
        <f>MAX(Sheet1!E2:E9)</f>
        <v>300000</v>
      </c>
    </row>
    <row r="14" spans="1:5" ht="15">
      <c r="A14" s="6" t="s">
        <v>40</v>
      </c>
    </row>
    <row r="15" spans="1:5">
      <c r="B15">
        <f>MIN(Sheet1!E2:E9)</f>
        <v>150000</v>
      </c>
    </row>
    <row r="18" spans="1:1" ht="15">
      <c r="A18" s="6" t="s">
        <v>45</v>
      </c>
    </row>
    <row r="19" spans="1:1">
      <c r="A19" t="s">
        <v>48</v>
      </c>
    </row>
    <row r="20" spans="1:1">
      <c r="A20" t="s">
        <v>49</v>
      </c>
    </row>
    <row r="21" spans="1:1">
      <c r="A21" t="s">
        <v>46</v>
      </c>
    </row>
    <row r="23" spans="1:1" ht="15">
      <c r="A23" s="6" t="s">
        <v>47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C3166-F8BF-45ED-9E66-FA377C221FD9}">
  <dimension ref="A1:H5"/>
  <sheetViews>
    <sheetView workbookViewId="0">
      <selection activeCell="E7" sqref="E7"/>
    </sheetView>
  </sheetViews>
  <sheetFormatPr defaultRowHeight="14.25"/>
  <sheetData>
    <row r="1" spans="1:8" ht="15">
      <c r="A1" s="4" t="s">
        <v>28</v>
      </c>
      <c r="B1" s="4" t="s">
        <v>29</v>
      </c>
      <c r="H1" t="s">
        <v>34</v>
      </c>
    </row>
    <row r="2" spans="1:8" ht="28.5">
      <c r="A2" s="5" t="s">
        <v>3</v>
      </c>
      <c r="B2" s="5" t="s">
        <v>30</v>
      </c>
      <c r="H2" t="e">
        <f>VLOOKUP(D2,Sheet2!$A$3:$B$5,2,FALSE)</f>
        <v>#N/A</v>
      </c>
    </row>
    <row r="3" spans="1:8">
      <c r="A3" s="5" t="s">
        <v>8</v>
      </c>
      <c r="B3" s="5" t="s">
        <v>31</v>
      </c>
    </row>
    <row r="4" spans="1:8">
      <c r="A4" s="5" t="s">
        <v>11</v>
      </c>
      <c r="B4" s="5" t="s">
        <v>32</v>
      </c>
    </row>
    <row r="5" spans="1:8">
      <c r="A5" s="5" t="s">
        <v>13</v>
      </c>
      <c r="B5" s="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Sheet3</vt:lpstr>
      <vt:lpstr>Sheet5</vt:lpstr>
      <vt:lpstr>Sheet1</vt:lpstr>
      <vt:lpstr>Dashboard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2026-09-25T14:39:29Z</dcterms:created>
  <dcterms:modified xsi:type="dcterms:W3CDTF">2026-09-28T22:11:20Z</dcterms:modified>
</cp:coreProperties>
</file>